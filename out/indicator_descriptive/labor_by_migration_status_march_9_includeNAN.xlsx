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dbg-my.sharepoint.com/personal/martap_iadb_org/Documents/Equipo Conocimiento/Datos/hdmf/How-do-Migrants-fare-in-LAC/out/indicator_descriptive/"/>
    </mc:Choice>
  </mc:AlternateContent>
  <xr:revisionPtr revIDLastSave="98" documentId="11_5D6D52BCD3A05F2B4520C7F0505ED87656CD3B63" xr6:coauthVersionLast="47" xr6:coauthVersionMax="47" xr10:uidLastSave="{C9A25B0D-9951-43AE-82FC-A386EF0198A9}"/>
  <bookViews>
    <workbookView xWindow="0" yWindow="250" windowWidth="19200" windowHeight="10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<sst xmlns="http://schemas.openxmlformats.org/spreadsheetml/2006/main" count="51" uniqueCount="20">
  <si>
    <t>n_unweighted</t>
  </si>
  <si>
    <t>ones_unweighted</t>
  </si>
  <si>
    <t>ones_weights</t>
  </si>
  <si>
    <t>std</t>
  </si>
  <si>
    <t>sum_weights</t>
  </si>
  <si>
    <t>Foreign_other</t>
  </si>
  <si>
    <t>Native</t>
  </si>
  <si>
    <t>Venezuela</t>
  </si>
  <si>
    <t>CHL</t>
  </si>
  <si>
    <t>pea_ci</t>
  </si>
  <si>
    <t>COL</t>
  </si>
  <si>
    <t>ECU</t>
  </si>
  <si>
    <t>PER</t>
  </si>
  <si>
    <t>Migrante (otro)</t>
  </si>
  <si>
    <t>Nativo</t>
  </si>
  <si>
    <t>Empleado</t>
  </si>
  <si>
    <t>Desempleado</t>
  </si>
  <si>
    <t>inactivo</t>
  </si>
  <si>
    <t>Error positivo</t>
  </si>
  <si>
    <t>Error negativo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</si>
</sst>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164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0" xfId="0" applyBorder="1"/>
    <xf numFmtId="164" fontId="0" fillId="0" borderId="3" xfId="1" applyNumberFormat="1" applyFont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164" fontId="0" fillId="0" borderId="0" xfId="1" applyNumberFormat="1" applyFont="1" applyBorder="1"/>
    <xf numFmtId="164" fontId="0" fillId="0" borderId="7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2" xfId="1" applyNumberFormat="1" applyFont="1" applyBorder="1"/>
    <xf numFmtId="164" fontId="0" fillId="0" borderId="1" xfId="1" applyNumberFormat="1" applyFont="1" applyBorder="1"/>
    <xf numFmtId="164" fontId="0" fillId="0" borderId="11" xfId="1" applyNumberFormat="1" applyFont="1" applyBorder="1"/>
    <xf numFmtId="0" fontId="0" fillId="0" borderId="13" xfId="0" applyBorder="1" applyAlignment="1">
      <alignment horizontal="center" vertical="center"/>
    </xf>
    <xf numFmtId="164" fontId="0" fillId="0" borderId="14" xfId="1" applyNumberFormat="1" applyFont="1" applyBorder="1"/>
    <xf numFmtId="164" fontId="0" fillId="0" borderId="13" xfId="1" applyNumberFormat="1" applyFont="1" applyBorder="1"/>
    <xf numFmtId="164" fontId="0" fillId="0" borderId="15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7"/>
          <c:order val="0"/>
          <c:tx>
            <c:strRef>
              <c:f>Sheet1!$J$2</c:f>
              <c:strCache>
                <c:ptCount val="1"/>
                <c:pt idx="0">
                  <c:v>Nativo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Sheet1!$B$3:$B$5</c:f>
              <c:strCache>
                <c:ptCount val="3"/>
                <c:pt idx="0">
                  <c:v>Empleado</c:v>
                </c:pt>
                <c:pt idx="1">
                  <c:v>Desempleado</c:v>
                </c:pt>
                <c:pt idx="2">
                  <c:v>inactivo</c:v>
                </c:pt>
              </c:strCache>
            </c:strRef>
          </c:cat>
          <c:val>
            <c:numRef>
              <c:f>Sheet1!$J$3:$J$5</c:f>
              <c:numCache>
                <c:formatCode>0.0%</c:formatCode>
                <c:ptCount val="3"/>
                <c:pt idx="0">
                  <c:v>0.65209853591603384</c:v>
                </c:pt>
                <c:pt idx="1">
                  <c:v>6.70266091265692E-2</c:v>
                </c:pt>
                <c:pt idx="2">
                  <c:v>0.28087485495739689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BB-4810-8D0D-9D37D18EA4FE}"/>
            </c:ext>
          </c:extLst>
        </c:ser>
        <c:ser>
          <c:idx val="8"/>
          <c:order val="1"/>
          <c:tx>
            <c:strRef>
              <c:f>Sheet1!$K$2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Sheet1!$B$3:$B$5</c:f>
              <c:strCache>
                <c:ptCount val="3"/>
                <c:pt idx="0">
                  <c:v>Empleado</c:v>
                </c:pt>
                <c:pt idx="1">
                  <c:v>Desempleado</c:v>
                </c:pt>
                <c:pt idx="2">
                  <c:v>inactivo</c:v>
                </c:pt>
              </c:strCache>
            </c:strRef>
          </c:cat>
          <c:val>
            <c:numRef>
              <c:f>Sheet1!$K$3:$K$5</c:f>
              <c:numCache>
                <c:formatCode>0.0%</c:formatCode>
                <c:ptCount val="3"/>
                <c:pt idx="0">
                  <c:v>0.81830856187997969</c:v>
                </c:pt>
                <c:pt idx="1">
                  <c:v>4.2083788413368697E-2</c:v>
                </c:pt>
                <c:pt idx="2">
                  <c:v>0.1396076497066516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7BB-4810-8D0D-9D37D18EA4FE}"/>
            </c:ext>
          </c:extLst>
        </c:ser>
        <c:ser>
          <c:idx val="0"/>
          <c:order val="2"/>
          <c:tx>
            <c:strRef>
              <c:f>Sheet1!$C$2</c:f>
              <c:strCache>
                <c:ptCount val="1"/>
                <c:pt idx="0">
                  <c:v>Migrante (otro)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Sheet1!$B$3:$B$5</c:f>
              <c:strCache>
                <c:ptCount val="3"/>
                <c:pt idx="0">
                  <c:v>Empleado</c:v>
                </c:pt>
                <c:pt idx="1">
                  <c:v>Desempleado</c:v>
                </c:pt>
                <c:pt idx="2">
                  <c:v>inactivo</c:v>
                </c:pt>
              </c:strCache>
            </c:strRef>
          </c:cat>
          <c:val>
            <c:numRef>
              <c:f>Sheet1!$C$3:$C$5</c:f>
            </c:numRef>
          </c:val>
          <c:extLst>
            <c:ext xmlns:c16="http://schemas.microsoft.com/office/drawing/2014/chart" uri="{C3380CC4-5D6E-409C-BE32-E72D297353CC}">
              <c16:uniqueId val="{00000000-D7BB-4810-8D0D-9D37D18EA4FE}"/>
            </c:ext>
          </c:extLst>
        </c:ser>
        <c:ser>
          <c:idx val="1"/>
          <c:order val="3"/>
          <c:tx>
            <c:strRef>
              <c:f>Sheet1!$D$2</c:f>
              <c:strCache>
                <c:ptCount val="1"/>
                <c:pt idx="0">
                  <c:v>Nativo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Sheet1!$B$3:$B$5</c:f>
              <c:strCache>
                <c:ptCount val="3"/>
                <c:pt idx="0">
                  <c:v>Empleado</c:v>
                </c:pt>
                <c:pt idx="1">
                  <c:v>Desempleado</c:v>
                </c:pt>
                <c:pt idx="2">
                  <c:v>inactivo</c:v>
                </c:pt>
              </c:strCache>
            </c:strRef>
          </c:cat>
          <c:val>
            <c:numRef>
              <c:f>Sheet1!$D$3:$D$5</c:f>
            </c:numRef>
          </c:val>
          <c:extLst>
            <c:ext xmlns:c16="http://schemas.microsoft.com/office/drawing/2014/chart" uri="{C3380CC4-5D6E-409C-BE32-E72D297353CC}">
              <c16:uniqueId val="{00000001-D7BB-4810-8D0D-9D37D18EA4FE}"/>
            </c:ext>
          </c:extLst>
        </c:ser>
        <c:ser>
          <c:idx val="2"/>
          <c:order val="4"/>
          <c:tx>
            <c:strRef>
              <c:f>Sheet1!$E$2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Sheet1!$B$3:$B$5</c:f>
              <c:strCache>
                <c:ptCount val="3"/>
                <c:pt idx="0">
                  <c:v>Empleado</c:v>
                </c:pt>
                <c:pt idx="1">
                  <c:v>Desempleado</c:v>
                </c:pt>
                <c:pt idx="2">
                  <c:v>inactivo</c:v>
                </c:pt>
              </c:strCache>
            </c:strRef>
          </c:cat>
          <c:val>
            <c:numRef>
              <c:f>Sheet1!$E$3:$E$5</c:f>
            </c:numRef>
          </c:val>
          <c:extLst>
            <c:ext xmlns:c16="http://schemas.microsoft.com/office/drawing/2014/chart" uri="{C3380CC4-5D6E-409C-BE32-E72D297353CC}">
              <c16:uniqueId val="{00000002-D7BB-4810-8D0D-9D37D18EA4FE}"/>
            </c:ext>
          </c:extLst>
        </c:ser>
        <c:ser>
          <c:idx val="3"/>
          <c:order val="5"/>
          <c:tx>
            <c:strRef>
              <c:f>Sheet1!$F$2</c:f>
              <c:strCache>
                <c:ptCount val="1"/>
                <c:pt idx="0">
                  <c:v>Migrante (otro)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Sheet1!$B$3:$B$5</c:f>
              <c:strCache>
                <c:ptCount val="3"/>
                <c:pt idx="0">
                  <c:v>Empleado</c:v>
                </c:pt>
                <c:pt idx="1">
                  <c:v>Desempleado</c:v>
                </c:pt>
                <c:pt idx="2">
                  <c:v>inactivo</c:v>
                </c:pt>
              </c:strCache>
            </c:strRef>
          </c:cat>
          <c:val>
            <c:numRef>
              <c:f>Sheet1!$F$3:$F$5</c:f>
            </c:numRef>
          </c:val>
          <c:extLst>
            <c:ext xmlns:c16="http://schemas.microsoft.com/office/drawing/2014/chart" uri="{C3380CC4-5D6E-409C-BE32-E72D297353CC}">
              <c16:uniqueId val="{00000003-D7BB-4810-8D0D-9D37D18EA4FE}"/>
            </c:ext>
          </c:extLst>
        </c:ser>
        <c:ser>
          <c:idx val="4"/>
          <c:order val="6"/>
          <c:tx>
            <c:strRef>
              <c:f>Sheet1!$G$2</c:f>
              <c:strCache>
                <c:ptCount val="1"/>
                <c:pt idx="0">
                  <c:v>Nativo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Sheet1!$B$3:$B$5</c:f>
              <c:strCache>
                <c:ptCount val="3"/>
                <c:pt idx="0">
                  <c:v>Empleado</c:v>
                </c:pt>
                <c:pt idx="1">
                  <c:v>Desempleado</c:v>
                </c:pt>
                <c:pt idx="2">
                  <c:v>inactivo</c:v>
                </c:pt>
              </c:strCache>
            </c:strRef>
          </c:cat>
          <c:val>
            <c:numRef>
              <c:f>Sheet1!$G$3:$G$5</c:f>
            </c:numRef>
          </c:val>
          <c:extLst>
            <c:ext xmlns:c16="http://schemas.microsoft.com/office/drawing/2014/chart" uri="{C3380CC4-5D6E-409C-BE32-E72D297353CC}">
              <c16:uniqueId val="{00000004-D7BB-4810-8D0D-9D37D18EA4FE}"/>
            </c:ext>
          </c:extLst>
        </c:ser>
        <c:ser>
          <c:idx val="5"/>
          <c:order val="7"/>
          <c:tx>
            <c:strRef>
              <c:f>Sheet1!$H$2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Sheet1!$B$3:$B$5</c:f>
              <c:strCache>
                <c:ptCount val="3"/>
                <c:pt idx="0">
                  <c:v>Empleado</c:v>
                </c:pt>
                <c:pt idx="1">
                  <c:v>Desempleado</c:v>
                </c:pt>
                <c:pt idx="2">
                  <c:v>inactivo</c:v>
                </c:pt>
              </c:strCache>
            </c:strRef>
          </c:cat>
          <c:val>
            <c:numRef>
              <c:f>Sheet1!$H$3:$H$5</c:f>
            </c:numRef>
          </c:val>
          <c:extLst>
            <c:ext xmlns:c16="http://schemas.microsoft.com/office/drawing/2014/chart" uri="{C3380CC4-5D6E-409C-BE32-E72D297353CC}">
              <c16:uniqueId val="{00000005-D7BB-4810-8D0D-9D37D18EA4FE}"/>
            </c:ext>
          </c:extLst>
        </c:ser>
        <c:ser>
          <c:idx val="6"/>
          <c:order val="8"/>
          <c:tx>
            <c:strRef>
              <c:f>Sheet1!$I$2</c:f>
              <c:strCache>
                <c:ptCount val="1"/>
                <c:pt idx="0">
                  <c:v>Migrante (otro)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Sheet1!$B$3:$B$5</c:f>
              <c:strCache>
                <c:ptCount val="3"/>
                <c:pt idx="0">
                  <c:v>Empleado</c:v>
                </c:pt>
                <c:pt idx="1">
                  <c:v>Desempleado</c:v>
                </c:pt>
                <c:pt idx="2">
                  <c:v>inactivo</c:v>
                </c:pt>
              </c:strCache>
            </c:strRef>
          </c:cat>
          <c:val>
            <c:numRef>
              <c:f>Sheet1!$I$3:$I$5</c:f>
              <c:numCache>
                <c:formatCode>0.0%</c:formatCode>
                <c:ptCount val="3"/>
                <c:pt idx="0">
                  <c:v>0.75132573822417492</c:v>
                </c:pt>
                <c:pt idx="1">
                  <c:v>5.8310769387963618E-2</c:v>
                </c:pt>
                <c:pt idx="2">
                  <c:v>0.19036349238786149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BB-4810-8D0D-9D37D18EA4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2897104"/>
        <c:axId val="1122897584"/>
      </c:barChart>
      <c:catAx>
        <c:axId val="112289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897584"/>
        <c:crosses val="autoZero"/>
        <c:auto val="1"/>
        <c:lblAlgn val="ctr"/>
        <c:lblOffset val="100"/>
        <c:noMultiLvlLbl val="0"/>
      </c:catAx>
      <c:valAx>
        <c:axId val="112289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89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1220107</xdr:colOff>
      <xdr:row>22</xdr:row>
      <xdr:rowOff>20863</xdr:rowOff>
    </xdr:from>
    <xdr:to>
      <xdr:col>13</xdr:col>
      <xdr:colOff>580571</xdr:colOff>
      <xdr:row>44</xdr:row>
      <xdr:rowOff>145142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89332B-60BF-45B4-EEE6-9798886BA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tabSelected="1" topLeftCell="A18" zoomScale="70" zoomScaleNormal="70" workbookViewId="0">
      <selection activeCell="P53" sqref="P53"/>
    </sheetView>
  </sheetViews>
  <sheetFormatPr defaultRowHeight="14.5" x14ac:dyDescent="0.35"/>
  <cols>
    <col min="2" max="2" width="17.6328125" customWidth="1"/>
    <col min="3" max="8" width="15.81640625" hidden="1" customWidth="1"/>
    <col min="9" max="13" width="15.81640625" customWidth="1"/>
  </cols>
  <sheetData>
    <row r="1" spans="1:26" x14ac:dyDescent="0.35">
      <c r="C1" s="1" t="s">
        <v>18</v>
      </c>
      <c r="D1" s="1"/>
      <c r="E1" s="1"/>
      <c r="F1" s="1" t="s">
        <v>19</v>
      </c>
      <c r="G1" s="1"/>
      <c r="H1" s="1"/>
      <c r="I1" s="1"/>
      <c r="J1" s="1"/>
      <c r="K1" s="1"/>
      <c r="L1" s="1" t="s">
        <v>0</v>
      </c>
      <c r="M1" s="1"/>
      <c r="N1" s="1"/>
      <c r="O1" s="1" t="s">
        <v>1</v>
      </c>
      <c r="P1" s="1"/>
      <c r="Q1" s="1"/>
      <c r="R1" s="1" t="s">
        <v>2</v>
      </c>
      <c r="S1" s="1"/>
      <c r="T1" s="1"/>
      <c r="U1" s="1" t="s">
        <v>3</v>
      </c>
      <c r="V1" s="1"/>
      <c r="W1" s="1"/>
      <c r="X1" s="1" t="s">
        <v>4</v>
      </c>
      <c r="Y1" s="1"/>
      <c r="Z1" s="1"/>
    </row>
    <row r="2" spans="1:26" ht="15" thickBot="1" x14ac:dyDescent="0.4">
      <c r="C2" s="6" t="s">
        <v>13</v>
      </c>
      <c r="D2" s="7" t="s">
        <v>14</v>
      </c>
      <c r="E2" s="7" t="s">
        <v>7</v>
      </c>
      <c r="F2" s="6" t="s">
        <v>13</v>
      </c>
      <c r="G2" s="7" t="s">
        <v>14</v>
      </c>
      <c r="H2" s="7" t="s">
        <v>7</v>
      </c>
      <c r="I2" s="6" t="s">
        <v>13</v>
      </c>
      <c r="J2" s="7" t="s">
        <v>14</v>
      </c>
      <c r="K2" s="7" t="s">
        <v>7</v>
      </c>
      <c r="L2" t="s">
        <v>5</v>
      </c>
      <c r="M2" t="s">
        <v>6</v>
      </c>
      <c r="N2" t="s">
        <v>7</v>
      </c>
      <c r="O2" t="s">
        <v>5</v>
      </c>
      <c r="P2" t="s">
        <v>6</v>
      </c>
      <c r="Q2" t="s">
        <v>7</v>
      </c>
      <c r="R2" t="s">
        <v>5</v>
      </c>
      <c r="S2" t="s">
        <v>6</v>
      </c>
      <c r="T2" t="s">
        <v>7</v>
      </c>
      <c r="U2" t="s">
        <v>5</v>
      </c>
      <c r="V2" t="s">
        <v>6</v>
      </c>
      <c r="W2" t="s">
        <v>7</v>
      </c>
      <c r="X2" t="s">
        <v>5</v>
      </c>
      <c r="Y2" t="s">
        <v>6</v>
      </c>
      <c r="Z2" t="s">
        <v>7</v>
      </c>
    </row>
    <row r="3" spans="1:26" x14ac:dyDescent="0.35">
      <c r="A3" s="17" t="s">
        <v>8</v>
      </c>
      <c r="B3" s="7" t="s">
        <v>15</v>
      </c>
      <c r="C3" s="8">
        <v>1.315701975558525E-2</v>
      </c>
      <c r="D3" s="9">
        <v>3.3042740235545991E-3</v>
      </c>
      <c r="E3" s="10">
        <v>1.46528654776793E-2</v>
      </c>
      <c r="F3" s="8">
        <v>1.315701975558525E-2</v>
      </c>
      <c r="G3" s="9">
        <v>3.3042740235545991E-3</v>
      </c>
      <c r="H3" s="10">
        <v>1.46528654776793E-2</v>
      </c>
      <c r="I3" s="8">
        <v>0.75132573822417492</v>
      </c>
      <c r="J3" s="9">
        <v>0.65209853591603384</v>
      </c>
      <c r="K3" s="10">
        <v>0.81830856187997969</v>
      </c>
      <c r="L3">
        <v>7295</v>
      </c>
      <c r="M3">
        <v>129629</v>
      </c>
      <c r="N3">
        <v>4015</v>
      </c>
      <c r="O3">
        <v>5283</v>
      </c>
      <c r="P3">
        <v>79947</v>
      </c>
      <c r="Q3">
        <v>3145</v>
      </c>
      <c r="R3">
        <v>588258</v>
      </c>
      <c r="S3">
        <v>7820636</v>
      </c>
      <c r="T3">
        <v>487752</v>
      </c>
      <c r="U3">
        <v>0.43224457579716768</v>
      </c>
      <c r="V3">
        <v>0.4763045615697995</v>
      </c>
      <c r="W3">
        <v>0.38559001469682691</v>
      </c>
      <c r="X3">
        <v>782960</v>
      </c>
      <c r="Y3">
        <v>11993028</v>
      </c>
      <c r="Z3">
        <v>596049</v>
      </c>
    </row>
    <row r="4" spans="1:26" x14ac:dyDescent="0.35">
      <c r="A4" s="17"/>
      <c r="B4" s="7" t="s">
        <v>16</v>
      </c>
      <c r="C4" s="11">
        <v>7.0284905311016263E-3</v>
      </c>
      <c r="D4" s="12">
        <v>1.7728745574722841E-3</v>
      </c>
      <c r="E4" s="13">
        <v>6.9345013534434794E-3</v>
      </c>
      <c r="F4" s="11">
        <v>7.0284905311016263E-3</v>
      </c>
      <c r="G4" s="12">
        <v>1.7728745574722841E-3</v>
      </c>
      <c r="H4" s="13">
        <v>6.9345013534434794E-3</v>
      </c>
      <c r="I4" s="11">
        <v>5.8310769387963618E-2</v>
      </c>
      <c r="J4" s="12">
        <v>6.70266091265692E-2</v>
      </c>
      <c r="K4" s="13">
        <v>4.2083788413368697E-2</v>
      </c>
      <c r="L4">
        <v>7295</v>
      </c>
      <c r="M4">
        <v>129629</v>
      </c>
      <c r="N4">
        <v>4015</v>
      </c>
      <c r="O4">
        <v>428</v>
      </c>
      <c r="P4">
        <v>8635</v>
      </c>
      <c r="Q4">
        <v>207</v>
      </c>
      <c r="R4">
        <v>45655</v>
      </c>
      <c r="S4">
        <v>803852</v>
      </c>
      <c r="T4">
        <v>25084</v>
      </c>
      <c r="U4">
        <v>0.23433015930807399</v>
      </c>
      <c r="V4">
        <v>0.25006807632235528</v>
      </c>
      <c r="W4">
        <v>0.20078033560622291</v>
      </c>
      <c r="X4">
        <v>782960</v>
      </c>
      <c r="Y4">
        <v>11993028</v>
      </c>
      <c r="Z4">
        <v>596049</v>
      </c>
    </row>
    <row r="5" spans="1:26" ht="13.5" customHeight="1" x14ac:dyDescent="0.35">
      <c r="A5" s="18"/>
      <c r="B5" s="5" t="s">
        <v>17</v>
      </c>
      <c r="C5" s="19">
        <v>1.1836664529283669E-2</v>
      </c>
      <c r="D5" s="20">
        <v>3.0620803349194481E-3</v>
      </c>
      <c r="E5" s="21">
        <v>1.3357229623203289E-2</v>
      </c>
      <c r="F5" s="19">
        <v>1.1836664529283669E-2</v>
      </c>
      <c r="G5" s="20">
        <v>3.0620803349194481E-3</v>
      </c>
      <c r="H5" s="21">
        <v>1.3357229623203289E-2</v>
      </c>
      <c r="I5" s="19">
        <v>0.19036349238786149</v>
      </c>
      <c r="J5" s="20">
        <v>0.28087485495739689</v>
      </c>
      <c r="K5" s="21">
        <v>0.1396076497066516</v>
      </c>
      <c r="L5">
        <v>7295</v>
      </c>
      <c r="M5">
        <v>129629</v>
      </c>
      <c r="N5">
        <v>4015</v>
      </c>
      <c r="O5">
        <v>1584</v>
      </c>
      <c r="P5">
        <v>41047</v>
      </c>
      <c r="Q5">
        <v>663</v>
      </c>
      <c r="R5">
        <v>149047</v>
      </c>
      <c r="S5">
        <v>3368540</v>
      </c>
      <c r="T5">
        <v>83213</v>
      </c>
      <c r="U5">
        <v>0.39258786679386581</v>
      </c>
      <c r="V5">
        <v>0.44942649099720211</v>
      </c>
      <c r="W5">
        <v>0.34657950581365382</v>
      </c>
      <c r="X5">
        <v>782960</v>
      </c>
      <c r="Y5">
        <v>11993028</v>
      </c>
      <c r="Z5">
        <v>596049</v>
      </c>
    </row>
    <row r="6" spans="1:26" x14ac:dyDescent="0.35">
      <c r="A6" s="22" t="s">
        <v>10</v>
      </c>
      <c r="B6" s="7" t="s">
        <v>15</v>
      </c>
      <c r="C6" s="23">
        <v>9.9149912291927378E-2</v>
      </c>
      <c r="D6" s="24">
        <v>4.4494124661772494E-3</v>
      </c>
      <c r="E6" s="25">
        <v>2.0889352410938141E-2</v>
      </c>
      <c r="F6" s="23">
        <v>9.9149912291927378E-2</v>
      </c>
      <c r="G6" s="24">
        <v>4.4494124661772494E-3</v>
      </c>
      <c r="H6" s="25">
        <v>2.0889352410938141E-2</v>
      </c>
      <c r="I6" s="23">
        <v>0.61909532036735293</v>
      </c>
      <c r="J6" s="24">
        <v>0.65846772510683671</v>
      </c>
      <c r="K6" s="25">
        <v>0.69250824679890288</v>
      </c>
      <c r="L6">
        <v>242</v>
      </c>
      <c r="M6">
        <v>128399</v>
      </c>
      <c r="N6">
        <v>5549</v>
      </c>
      <c r="O6">
        <v>148</v>
      </c>
      <c r="P6">
        <v>80572</v>
      </c>
      <c r="Q6">
        <v>3700</v>
      </c>
      <c r="R6">
        <v>45393.832214832313</v>
      </c>
      <c r="S6">
        <v>21488532.66586113</v>
      </c>
      <c r="T6">
        <v>998494.61076259613</v>
      </c>
      <c r="U6">
        <v>0.48560920982472888</v>
      </c>
      <c r="V6">
        <v>0.47422355498168173</v>
      </c>
      <c r="W6">
        <v>0.46145484601899323</v>
      </c>
      <c r="X6">
        <v>73322.848229408264</v>
      </c>
      <c r="Y6">
        <v>32634147.19738102</v>
      </c>
      <c r="Z6">
        <v>1441852.303388596</v>
      </c>
    </row>
    <row r="7" spans="1:26" x14ac:dyDescent="0.35">
      <c r="A7" s="17"/>
      <c r="B7" s="7" t="s">
        <v>16</v>
      </c>
      <c r="C7" s="11">
        <v>8.6958595653099352E-2</v>
      </c>
      <c r="D7" s="12">
        <v>2.3067872108581832E-3</v>
      </c>
      <c r="E7" s="13">
        <v>1.0947960817419319E-2</v>
      </c>
      <c r="F7" s="11">
        <v>8.6958595653099352E-2</v>
      </c>
      <c r="G7" s="12">
        <v>2.3067872108581758E-3</v>
      </c>
      <c r="H7" s="13">
        <v>1.0947960817419319E-2</v>
      </c>
      <c r="I7" s="11">
        <v>0.1263454702795839</v>
      </c>
      <c r="J7" s="12">
        <v>6.3155332690599239E-2</v>
      </c>
      <c r="K7" s="13">
        <v>6.506763684364289E-2</v>
      </c>
      <c r="L7">
        <v>242</v>
      </c>
      <c r="M7">
        <v>128399</v>
      </c>
      <c r="N7">
        <v>5549</v>
      </c>
      <c r="O7">
        <v>15</v>
      </c>
      <c r="P7">
        <v>8960</v>
      </c>
      <c r="Q7">
        <v>397</v>
      </c>
      <c r="R7">
        <v>9264.0097417831421</v>
      </c>
      <c r="S7">
        <v>2061020.423324585</v>
      </c>
      <c r="T7">
        <v>93817.922059059143</v>
      </c>
      <c r="U7">
        <v>0.33223830667070092</v>
      </c>
      <c r="V7">
        <v>0.2432421358304086</v>
      </c>
      <c r="W7">
        <v>0.2466451691787753</v>
      </c>
      <c r="X7">
        <v>73322.848229408264</v>
      </c>
      <c r="Y7">
        <v>32634147.19738102</v>
      </c>
      <c r="Z7">
        <v>1441852.303388596</v>
      </c>
    </row>
    <row r="8" spans="1:26" x14ac:dyDescent="0.35">
      <c r="A8" s="18"/>
      <c r="B8" s="5" t="s">
        <v>17</v>
      </c>
      <c r="C8" s="19">
        <v>7.7474091312008442E-2</v>
      </c>
      <c r="D8" s="20">
        <v>4.1626057644486569E-3</v>
      </c>
      <c r="E8" s="21">
        <v>1.9304156199310609E-2</v>
      </c>
      <c r="F8" s="19">
        <v>7.7474091312008414E-2</v>
      </c>
      <c r="G8" s="20">
        <v>4.1626057644486569E-3</v>
      </c>
      <c r="H8" s="21">
        <v>1.9304156199310581E-2</v>
      </c>
      <c r="I8" s="19">
        <v>0.2545592093530632</v>
      </c>
      <c r="J8" s="20">
        <v>0.27837694220256409</v>
      </c>
      <c r="K8" s="21">
        <v>0.2424241163574542</v>
      </c>
      <c r="L8">
        <v>242</v>
      </c>
      <c r="M8">
        <v>128399</v>
      </c>
      <c r="N8">
        <v>5549</v>
      </c>
      <c r="O8">
        <v>79</v>
      </c>
      <c r="P8">
        <v>38867</v>
      </c>
      <c r="Q8">
        <v>1452</v>
      </c>
      <c r="R8">
        <v>18665.00627279282</v>
      </c>
      <c r="S8">
        <v>9084594.1081953049</v>
      </c>
      <c r="T8">
        <v>349539.77056694031</v>
      </c>
      <c r="U8">
        <v>0.43561315210471607</v>
      </c>
      <c r="V8">
        <v>0.4481999779702297</v>
      </c>
      <c r="W8">
        <v>0.42854948858417952</v>
      </c>
      <c r="X8">
        <v>73322.848229408264</v>
      </c>
      <c r="Y8">
        <v>32634147.19738102</v>
      </c>
      <c r="Z8">
        <v>1441852.303388596</v>
      </c>
    </row>
    <row r="9" spans="1:26" x14ac:dyDescent="0.35">
      <c r="A9" s="22" t="s">
        <v>11</v>
      </c>
      <c r="B9" s="7" t="s">
        <v>15</v>
      </c>
      <c r="C9" s="23">
        <v>8.6542397332604271E-2</v>
      </c>
      <c r="D9" s="24">
        <v>1.8605821229070289E-2</v>
      </c>
      <c r="E9" s="25">
        <v>6.6423176248510685E-2</v>
      </c>
      <c r="F9" s="23">
        <v>8.6542397332604271E-2</v>
      </c>
      <c r="G9" s="24">
        <v>1.8605821229070289E-2</v>
      </c>
      <c r="H9" s="25">
        <v>6.6423176248510685E-2</v>
      </c>
      <c r="I9" s="23">
        <v>0.66695108863493247</v>
      </c>
      <c r="J9" s="24">
        <v>0.67147824709040738</v>
      </c>
      <c r="K9" s="25">
        <v>0.80526366944617345</v>
      </c>
      <c r="L9">
        <v>249</v>
      </c>
      <c r="M9">
        <v>17312</v>
      </c>
      <c r="N9">
        <v>251</v>
      </c>
      <c r="O9">
        <v>160</v>
      </c>
      <c r="P9">
        <v>11690</v>
      </c>
      <c r="Q9">
        <v>199</v>
      </c>
      <c r="R9">
        <v>62251.626312255859</v>
      </c>
      <c r="S9">
        <v>7336203.3685474396</v>
      </c>
      <c r="T9">
        <v>79503.894081115723</v>
      </c>
      <c r="U9">
        <v>0.47130386589079759</v>
      </c>
      <c r="V9">
        <v>0.469675644221415</v>
      </c>
      <c r="W9">
        <v>0.39599759104855342</v>
      </c>
      <c r="X9">
        <v>93337.618564605713</v>
      </c>
      <c r="Y9">
        <v>10925452.01625824</v>
      </c>
      <c r="Z9">
        <v>98730.263263702393</v>
      </c>
    </row>
    <row r="10" spans="1:26" x14ac:dyDescent="0.35">
      <c r="A10" s="17"/>
      <c r="B10" s="7" t="s">
        <v>16</v>
      </c>
      <c r="C10" s="11">
        <v>7.8698136482401558E-3</v>
      </c>
      <c r="D10" s="12">
        <v>3.0801249333889812E-3</v>
      </c>
      <c r="E10" s="13">
        <v>1.315081749218373E-2</v>
      </c>
      <c r="F10" s="11">
        <v>7.8698136482401558E-3</v>
      </c>
      <c r="G10" s="12">
        <v>3.0801249333889812E-3</v>
      </c>
      <c r="H10" s="13">
        <v>1.315081749218374E-2</v>
      </c>
      <c r="I10" s="11">
        <v>6.4598115669965376E-3</v>
      </c>
      <c r="J10" s="12">
        <v>1.867884827085944E-2</v>
      </c>
      <c r="K10" s="13">
        <v>9.6443515282008743E-3</v>
      </c>
      <c r="L10">
        <v>249</v>
      </c>
      <c r="M10">
        <v>17312</v>
      </c>
      <c r="N10">
        <v>251</v>
      </c>
      <c r="O10">
        <v>3</v>
      </c>
      <c r="P10">
        <v>477</v>
      </c>
      <c r="Q10">
        <v>3</v>
      </c>
      <c r="R10">
        <v>602.94342803955078</v>
      </c>
      <c r="S10">
        <v>204074.86050224301</v>
      </c>
      <c r="T10">
        <v>952.18936538696289</v>
      </c>
      <c r="U10">
        <v>8.0112935294591694E-2</v>
      </c>
      <c r="V10">
        <v>0.13538814164517379</v>
      </c>
      <c r="W10">
        <v>9.7730947052616673E-2</v>
      </c>
      <c r="X10">
        <v>93337.618564605713</v>
      </c>
      <c r="Y10">
        <v>10925452.01625824</v>
      </c>
      <c r="Z10">
        <v>98730.263263702393</v>
      </c>
    </row>
    <row r="11" spans="1:26" x14ac:dyDescent="0.35">
      <c r="A11" s="18"/>
      <c r="B11" s="5" t="s">
        <v>17</v>
      </c>
      <c r="C11" s="19">
        <v>8.6303601814370023E-2</v>
      </c>
      <c r="D11" s="20">
        <v>1.859776320802714E-2</v>
      </c>
      <c r="E11" s="21">
        <v>6.5498274860967626E-2</v>
      </c>
      <c r="F11" s="19">
        <v>8.6303601814370023E-2</v>
      </c>
      <c r="G11" s="20">
        <v>1.859776320802714E-2</v>
      </c>
      <c r="H11" s="21">
        <v>6.5498274860967612E-2</v>
      </c>
      <c r="I11" s="19">
        <v>0.32658909979807099</v>
      </c>
      <c r="J11" s="20">
        <v>0.30984290463873321</v>
      </c>
      <c r="K11" s="21">
        <v>0.18509197902562571</v>
      </c>
      <c r="L11">
        <v>249</v>
      </c>
      <c r="M11">
        <v>17312</v>
      </c>
      <c r="N11">
        <v>251</v>
      </c>
      <c r="O11">
        <v>86</v>
      </c>
      <c r="P11">
        <v>5145</v>
      </c>
      <c r="Q11">
        <v>49</v>
      </c>
      <c r="R11">
        <v>30483.048824310299</v>
      </c>
      <c r="S11">
        <v>3385173.7872085571</v>
      </c>
      <c r="T11">
        <v>18274.179817199711</v>
      </c>
      <c r="U11">
        <v>0.46896552079140807</v>
      </c>
      <c r="V11">
        <v>0.46242867459075898</v>
      </c>
      <c r="W11">
        <v>0.38837216471575697</v>
      </c>
      <c r="X11">
        <v>93337.618564605713</v>
      </c>
      <c r="Y11">
        <v>10925452.01625824</v>
      </c>
      <c r="Z11">
        <v>98730.263263702393</v>
      </c>
    </row>
    <row r="12" spans="1:26" x14ac:dyDescent="0.35">
      <c r="A12" s="3" t="s">
        <v>12</v>
      </c>
      <c r="B12" s="7" t="s">
        <v>15</v>
      </c>
      <c r="C12" s="11">
        <v>0.1038837213346375</v>
      </c>
      <c r="D12" s="12">
        <v>4.9744642941764727E-3</v>
      </c>
      <c r="E12" s="13">
        <v>6.9278094743791208E-2</v>
      </c>
      <c r="F12" s="11">
        <v>0.1038837213346375</v>
      </c>
      <c r="G12" s="12">
        <v>4.9744642941764727E-3</v>
      </c>
      <c r="H12" s="13">
        <v>6.9278094743791208E-2</v>
      </c>
      <c r="I12" s="11">
        <v>0.59567835922582812</v>
      </c>
      <c r="J12" s="12">
        <v>0.71761074524358215</v>
      </c>
      <c r="K12" s="13">
        <v>0.77396461116471493</v>
      </c>
      <c r="L12">
        <v>158</v>
      </c>
      <c r="M12">
        <v>66723</v>
      </c>
      <c r="N12">
        <v>283</v>
      </c>
      <c r="O12">
        <v>94</v>
      </c>
      <c r="P12">
        <v>48933</v>
      </c>
      <c r="Q12">
        <v>219</v>
      </c>
      <c r="R12">
        <v>30630.43471121788</v>
      </c>
      <c r="S12">
        <v>15272237.278127311</v>
      </c>
      <c r="T12">
        <v>107284.686288476</v>
      </c>
      <c r="U12">
        <v>0.49076027913417503</v>
      </c>
      <c r="V12">
        <v>0.45016170822775758</v>
      </c>
      <c r="W12">
        <v>0.41826234808952928</v>
      </c>
      <c r="X12">
        <v>51421.097034692757</v>
      </c>
      <c r="Y12">
        <v>21282063.262505051</v>
      </c>
      <c r="Z12">
        <v>138617.043648839</v>
      </c>
    </row>
    <row r="13" spans="1:26" x14ac:dyDescent="0.35">
      <c r="A13" s="3"/>
      <c r="B13" s="7" t="s">
        <v>16</v>
      </c>
      <c r="C13" s="11">
        <v>2.724534081944599E-2</v>
      </c>
      <c r="D13" s="12">
        <v>2.0866463020813228E-3</v>
      </c>
      <c r="E13" s="13">
        <v>1.061567335008767E-2</v>
      </c>
      <c r="F13" s="11">
        <v>2.7245340819446E-2</v>
      </c>
      <c r="G13" s="12">
        <v>2.0866463020813228E-3</v>
      </c>
      <c r="H13" s="13">
        <v>1.061567335008767E-2</v>
      </c>
      <c r="I13" s="11">
        <v>3.6488656730854253E-2</v>
      </c>
      <c r="J13" s="12">
        <v>4.9656586147105039E-2</v>
      </c>
      <c r="K13" s="13">
        <v>1.0596319030970471E-2</v>
      </c>
      <c r="L13">
        <v>158</v>
      </c>
      <c r="M13">
        <v>66723</v>
      </c>
      <c r="N13">
        <v>283</v>
      </c>
      <c r="O13">
        <v>8</v>
      </c>
      <c r="P13">
        <v>3785</v>
      </c>
      <c r="Q13">
        <v>5</v>
      </c>
      <c r="R13">
        <v>1876.286758422852</v>
      </c>
      <c r="S13">
        <v>1056794.607782722</v>
      </c>
      <c r="T13">
        <v>1468.8304176330571</v>
      </c>
      <c r="U13">
        <v>0.18750262574383361</v>
      </c>
      <c r="V13">
        <v>0.2172344576703249</v>
      </c>
      <c r="W13">
        <v>0.1023915868319481</v>
      </c>
      <c r="X13">
        <v>51421.097034692757</v>
      </c>
      <c r="Y13">
        <v>21282063.262505051</v>
      </c>
      <c r="Z13">
        <v>138617.043648839</v>
      </c>
    </row>
    <row r="14" spans="1:26" ht="15" thickBot="1" x14ac:dyDescent="0.4">
      <c r="A14" s="3"/>
      <c r="B14" s="5" t="s">
        <v>17</v>
      </c>
      <c r="C14" s="14">
        <v>0.1006472721513987</v>
      </c>
      <c r="D14" s="15">
        <v>4.7696910728409758E-3</v>
      </c>
      <c r="E14" s="16">
        <v>6.8872352684856031E-2</v>
      </c>
      <c r="F14" s="14">
        <v>0.1006472721513987</v>
      </c>
      <c r="G14" s="15">
        <v>4.7696910728409758E-3</v>
      </c>
      <c r="H14" s="16">
        <v>6.8872352684856059E-2</v>
      </c>
      <c r="I14" s="14">
        <v>0.36409292342487348</v>
      </c>
      <c r="J14" s="15">
        <v>0.23224109423212669</v>
      </c>
      <c r="K14" s="16">
        <v>0.2154390698043146</v>
      </c>
      <c r="L14">
        <v>159</v>
      </c>
      <c r="M14">
        <v>66837</v>
      </c>
      <c r="N14">
        <v>283</v>
      </c>
      <c r="O14">
        <v>56</v>
      </c>
      <c r="P14">
        <v>14005</v>
      </c>
      <c r="Q14">
        <v>59</v>
      </c>
      <c r="R14">
        <v>18914.375565052029</v>
      </c>
      <c r="S14">
        <v>4953031.3765950203</v>
      </c>
      <c r="T14">
        <v>29863.52694272995</v>
      </c>
      <c r="U14">
        <v>0.48117488144831783</v>
      </c>
      <c r="V14">
        <v>0.42226196653498299</v>
      </c>
      <c r="W14">
        <v>0.41112659486606579</v>
      </c>
      <c r="X14">
        <v>51949.308399438858</v>
      </c>
      <c r="Y14">
        <v>21327110.057638761</v>
      </c>
      <c r="Z14">
        <v>138617.043648839</v>
      </c>
    </row>
    <row r="18" spans="1:26" x14ac:dyDescent="0.35">
      <c r="A18" s="2"/>
      <c r="B18" t="s">
        <v>9</v>
      </c>
      <c r="C18" s="4">
        <v>1.1836664529283669E-2</v>
      </c>
      <c r="D18" s="4">
        <v>3.062080334919504E-3</v>
      </c>
      <c r="E18" s="4">
        <v>1.3357229623203289E-2</v>
      </c>
      <c r="F18" s="4">
        <v>1.1836664529283669E-2</v>
      </c>
      <c r="G18" s="4">
        <v>3.062080334919504E-3</v>
      </c>
      <c r="H18" s="4">
        <v>1.3357229623203289E-2</v>
      </c>
      <c r="I18" s="4">
        <v>0.80963650761213857</v>
      </c>
      <c r="J18" s="4">
        <v>0.71912514504260305</v>
      </c>
      <c r="K18" s="4">
        <v>0.86039235029334837</v>
      </c>
      <c r="L18">
        <v>7295</v>
      </c>
      <c r="M18">
        <v>129629</v>
      </c>
      <c r="N18">
        <v>4015</v>
      </c>
      <c r="O18">
        <v>5711</v>
      </c>
      <c r="P18">
        <v>88582</v>
      </c>
      <c r="Q18">
        <v>3352</v>
      </c>
      <c r="R18">
        <v>633913</v>
      </c>
      <c r="S18">
        <v>8624488</v>
      </c>
      <c r="T18">
        <v>512836</v>
      </c>
      <c r="U18">
        <v>0.3925878667938657</v>
      </c>
      <c r="V18">
        <v>0.44942649099720211</v>
      </c>
      <c r="W18">
        <v>0.34657950581365382</v>
      </c>
      <c r="X18">
        <v>782960</v>
      </c>
      <c r="Y18">
        <v>11993028</v>
      </c>
      <c r="Z18">
        <v>596049</v>
      </c>
    </row>
    <row r="19" spans="1:26" x14ac:dyDescent="0.35">
      <c r="A19" s="2"/>
      <c r="B19" t="s">
        <v>9</v>
      </c>
      <c r="C19" s="4">
        <v>7.7474091312008442E-2</v>
      </c>
      <c r="D19" s="4">
        <v>4.1626057644487116E-3</v>
      </c>
      <c r="E19" s="4">
        <v>1.9304156199310581E-2</v>
      </c>
      <c r="F19" s="4">
        <v>7.7474091312008442E-2</v>
      </c>
      <c r="G19" s="4">
        <v>4.1626057644487116E-3</v>
      </c>
      <c r="H19" s="4">
        <v>1.9304156199310581E-2</v>
      </c>
      <c r="I19" s="4">
        <v>0.7454407906469368</v>
      </c>
      <c r="J19" s="4">
        <v>0.72162305779743596</v>
      </c>
      <c r="K19" s="4">
        <v>0.7575758836425458</v>
      </c>
      <c r="L19">
        <v>242</v>
      </c>
      <c r="M19">
        <v>128399</v>
      </c>
      <c r="N19">
        <v>5549</v>
      </c>
      <c r="O19">
        <v>163</v>
      </c>
      <c r="P19">
        <v>89532</v>
      </c>
      <c r="Q19">
        <v>4097</v>
      </c>
      <c r="R19">
        <v>54657.841956615448</v>
      </c>
      <c r="S19">
        <v>23549553.089185711</v>
      </c>
      <c r="T19">
        <v>1092312.532821655</v>
      </c>
      <c r="U19">
        <v>0.43561315210471607</v>
      </c>
      <c r="V19">
        <v>0.4481999779702297</v>
      </c>
      <c r="W19">
        <v>0.42854948858417941</v>
      </c>
      <c r="X19">
        <v>73322.848229408264</v>
      </c>
      <c r="Y19">
        <v>32634147.19738102</v>
      </c>
      <c r="Z19">
        <v>1441852.303388596</v>
      </c>
    </row>
    <row r="20" spans="1:26" x14ac:dyDescent="0.35">
      <c r="A20" s="2"/>
      <c r="B20" t="s">
        <v>9</v>
      </c>
      <c r="C20" s="4">
        <v>8.6303601814370023E-2</v>
      </c>
      <c r="D20" s="4">
        <v>1.8597763208027199E-2</v>
      </c>
      <c r="E20" s="4">
        <v>6.5498274860967598E-2</v>
      </c>
      <c r="F20" s="4">
        <v>8.6303601814370023E-2</v>
      </c>
      <c r="G20" s="4">
        <v>1.8597763208027199E-2</v>
      </c>
      <c r="H20" s="4">
        <v>6.5498274860967598E-2</v>
      </c>
      <c r="I20" s="4">
        <v>0.67341090020192895</v>
      </c>
      <c r="J20" s="4">
        <v>0.69015709536126679</v>
      </c>
      <c r="K20" s="4">
        <v>0.81490802097437431</v>
      </c>
      <c r="L20">
        <v>249</v>
      </c>
      <c r="M20">
        <v>17312</v>
      </c>
      <c r="N20">
        <v>251</v>
      </c>
      <c r="O20">
        <v>163</v>
      </c>
      <c r="P20">
        <v>12167</v>
      </c>
      <c r="Q20">
        <v>202</v>
      </c>
      <c r="R20">
        <v>62854.56974029541</v>
      </c>
      <c r="S20">
        <v>7540278.2290496826</v>
      </c>
      <c r="T20">
        <v>80456.083446502686</v>
      </c>
      <c r="U20">
        <v>0.46896552079140807</v>
      </c>
      <c r="V20">
        <v>0.46242867459075898</v>
      </c>
      <c r="W20">
        <v>0.38837216471575692</v>
      </c>
      <c r="X20">
        <v>93337.618564605713</v>
      </c>
      <c r="Y20">
        <v>10925452.01625824</v>
      </c>
      <c r="Z20">
        <v>98730.263263702393</v>
      </c>
    </row>
    <row r="21" spans="1:26" x14ac:dyDescent="0.35">
      <c r="A21" s="2"/>
      <c r="B21" t="s">
        <v>9</v>
      </c>
      <c r="C21" s="4">
        <v>0.1015518201480394</v>
      </c>
      <c r="D21" s="4">
        <v>4.777725453304793E-3</v>
      </c>
      <c r="E21" s="4">
        <v>6.8872352684856031E-2</v>
      </c>
      <c r="F21" s="4">
        <v>0.1015518201480394</v>
      </c>
      <c r="G21" s="4">
        <v>4.777725453304793E-3</v>
      </c>
      <c r="H21" s="4">
        <v>6.8872352684856031E-2</v>
      </c>
      <c r="I21" s="4">
        <v>0.63216701595668234</v>
      </c>
      <c r="J21" s="4">
        <v>0.76726733139068715</v>
      </c>
      <c r="K21" s="4">
        <v>0.7845609301956854</v>
      </c>
      <c r="L21">
        <v>158</v>
      </c>
      <c r="M21">
        <v>66723</v>
      </c>
      <c r="N21">
        <v>283</v>
      </c>
      <c r="O21">
        <v>102</v>
      </c>
      <c r="P21">
        <v>52718</v>
      </c>
      <c r="Q21">
        <v>224</v>
      </c>
      <c r="R21">
        <v>32506.721469640732</v>
      </c>
      <c r="S21">
        <v>16329031.88591003</v>
      </c>
      <c r="T21">
        <v>108753.516706109</v>
      </c>
      <c r="U21">
        <v>0.48221559482570248</v>
      </c>
      <c r="V21">
        <v>0.42257327597861732</v>
      </c>
      <c r="W21">
        <v>0.41112659486606579</v>
      </c>
      <c r="X21">
        <v>51421.097034692757</v>
      </c>
      <c r="Y21">
        <v>21282063.262505051</v>
      </c>
      <c r="Z21">
        <v>138617.043648839</v>
      </c>
    </row>
  </sheetData>
  <mergeCells count="12">
    <mergeCell ref="X1:Z1"/>
    <mergeCell ref="A3:A5"/>
    <mergeCell ref="A6:A8"/>
    <mergeCell ref="A9:A11"/>
    <mergeCell ref="A12:A14"/>
    <mergeCell ref="F1:H1"/>
    <mergeCell ref="I1:K1"/>
    <mergeCell ref="R1:T1"/>
    <mergeCell ref="L1:N1"/>
    <mergeCell ref="C1:E1"/>
    <mergeCell ref="O1:Q1"/>
    <mergeCell ref="U1:W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Cortes Sanchez Pablo Andres</cp:lastModifiedBy>
  <dcterms:created xsi:type="dcterms:W3CDTF">2026-03-09T15:45:22Z</dcterms:created>
  <dcterms:modified xsi:type="dcterms:W3CDTF">2026-03-09T20:11:53Z</dcterms:modified>
</cp:coreProperties>
</file>